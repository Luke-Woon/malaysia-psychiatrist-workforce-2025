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 Woon\Downloads\Workforce 2025\"/>
    </mc:Choice>
  </mc:AlternateContent>
  <xr:revisionPtr revIDLastSave="0" documentId="13_ncr:1_{DE3892CD-A40A-4760-BB50-505A5CB1BFB5}" xr6:coauthVersionLast="47" xr6:coauthVersionMax="47" xr10:uidLastSave="{00000000-0000-0000-0000-000000000000}"/>
  <bookViews>
    <workbookView xWindow="-110" yWindow="-110" windowWidth="19420" windowHeight="11500" xr2:uid="{40115737-8B42-48D9-BC3D-C8D6C83B8B90}"/>
  </bookViews>
  <sheets>
    <sheet name="Sheet1" sheetId="2" r:id="rId1"/>
    <sheet name="proje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G39" i="1" s="1"/>
  <c r="F25" i="1"/>
  <c r="G25" i="1" s="1"/>
  <c r="C4" i="1"/>
  <c r="F11" i="1"/>
  <c r="G11" i="1" s="1"/>
  <c r="C32" i="1"/>
  <c r="C33" i="1" s="1"/>
  <c r="C34" i="1" s="1"/>
  <c r="C35" i="1" s="1"/>
  <c r="C36" i="1" s="1"/>
  <c r="C37" i="1" s="1"/>
  <c r="C38" i="1" s="1"/>
  <c r="C39" i="1" s="1"/>
  <c r="C30" i="1"/>
  <c r="C5" i="1"/>
  <c r="C6" i="1" s="1"/>
  <c r="C7" i="1" s="1"/>
  <c r="C8" i="1" s="1"/>
  <c r="C9" i="1" s="1"/>
  <c r="C10" i="1" s="1"/>
  <c r="C11" i="1" s="1"/>
  <c r="C18" i="1"/>
  <c r="C19" i="1" s="1"/>
  <c r="C20" i="1" s="1"/>
  <c r="C21" i="1" s="1"/>
  <c r="C22" i="1" s="1"/>
  <c r="C23" i="1" s="1"/>
  <c r="C24" i="1" s="1"/>
  <c r="C25" i="1" s="1"/>
  <c r="C2" i="1"/>
  <c r="E39" i="1"/>
  <c r="E38" i="1"/>
  <c r="E37" i="1"/>
  <c r="E36" i="1"/>
  <c r="E35" i="1"/>
  <c r="E34" i="1"/>
  <c r="E33" i="1"/>
  <c r="E32" i="1"/>
  <c r="E31" i="1"/>
  <c r="E30" i="1"/>
  <c r="E25" i="1"/>
  <c r="E24" i="1"/>
  <c r="E23" i="1"/>
  <c r="E22" i="1"/>
  <c r="E21" i="1"/>
  <c r="E20" i="1"/>
  <c r="E19" i="1"/>
  <c r="E18" i="1"/>
  <c r="E17" i="1"/>
  <c r="C16" i="1"/>
  <c r="E16" i="1" s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<sst xmlns="http://schemas.openxmlformats.org/spreadsheetml/2006/main" count="26" uniqueCount="11">
  <si>
    <t>pop</t>
  </si>
  <si>
    <t>psy</t>
  </si>
  <si>
    <t>new</t>
  </si>
  <si>
    <t>Projection</t>
  </si>
  <si>
    <t>Target 2025</t>
  </si>
  <si>
    <t>Target 2030</t>
  </si>
  <si>
    <t>5% attrition</t>
  </si>
  <si>
    <t>2.5% attrition</t>
  </si>
  <si>
    <t>7.5% attrition</t>
  </si>
  <si>
    <t>required</t>
  </si>
  <si>
    <t>shortfall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</si>
</sst>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716447356832"/>
          <c:y val="4.1876534870138551E-2"/>
          <c:w val="0.80161426130458524"/>
          <c:h val="0.70822964823766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2.5% 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7.5394024022859218E-2"/>
                  <c:y val="-3.5746201966041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B2-4EAF-8032-7BC7F4CF3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numCache>
            </c:numRef>
          </c:cat>
          <c:val>
            <c:numRef>
              <c:f>Sheet1!$B$2:$B$11</c:f>
              <c:numCache>
                <c:formatCode>0.00</c:formatCode>
                <c:ptCount val="10"/>
                <c:pt idx="0">
                  <c:v>1.9166007789231685</c:v>
                </c:pt>
                <c:pt idx="1">
                  <c:v>2.0024193453674233</c:v>
                </c:pt>
                <c:pt idx="2">
                  <c:v>2.0995616459811988</c:v>
                </c:pt>
                <c:pt idx="3">
                  <c:v>2.1947558511964642</c:v>
                </c:pt>
                <c:pt idx="4">
                  <c:v>2.2880636603510744</c:v>
                </c:pt>
                <c:pt idx="5">
                  <c:v>2.3798230442668729</c:v>
                </c:pt>
                <c:pt idx="6">
                  <c:v>2.4699481863870187</c:v>
                </c:pt>
                <c:pt idx="7">
                  <c:v>2.5585873238715955</c:v>
                </c:pt>
                <c:pt idx="8">
                  <c:v>2.646183990459499</c:v>
                </c:pt>
                <c:pt idx="9">
                  <c:v>2.7328053894307724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2-4EAF-8032-7BC7F4CF32B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5% 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B2-4EAF-8032-7BC7F4CF32B8}"/>
                </c:ext>
              </c:extLst>
            </c:dLbl>
            <c:dLbl>
              <c:idx val="9"/>
              <c:layout>
                <c:manualLayout>
                  <c:x val="5.997284822155851E-2"/>
                  <c:y val="2.50223413762287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B2-4EAF-8032-7BC7F4CF3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numCache>
            </c:numRef>
          </c:cat>
          <c:val>
            <c:numRef>
              <c:f>Sheet1!$C$2:$C$11</c:f>
              <c:numCache>
                <c:formatCode>0.00</c:formatCode>
                <c:ptCount val="10"/>
                <c:pt idx="0">
                  <c:v>1.9670376415264101</c:v>
                </c:pt>
                <c:pt idx="1">
                  <c:v>2.0024193453674233</c:v>
                </c:pt>
                <c:pt idx="2">
                  <c:v>2.0501079569680396</c:v>
                </c:pt>
                <c:pt idx="3">
                  <c:v>2.0964649530098622</c:v>
                </c:pt>
                <c:pt idx="4">
                  <c:v>2.1415398097602849</c:v>
                </c:pt>
                <c:pt idx="5">
                  <c:v>2.1856379325058053</c:v>
                </c:pt>
                <c:pt idx="6">
                  <c:v>2.228665801738233</c:v>
                </c:pt>
                <c:pt idx="7">
                  <c:v>2.2707490480398893</c:v>
                </c:pt>
                <c:pt idx="8">
                  <c:v>2.3122673894604104</c:v>
                </c:pt>
                <c:pt idx="9">
                  <c:v>2.3532579260938662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2-4EAF-8032-7BC7F4CF32B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7.5% attrition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5.1024311616220383E-2"/>
                  <c:y val="2.85969615728328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B2-4EAF-8032-7BC7F4CF3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numCache>
            </c:numRef>
          </c:cat>
          <c:val>
            <c:numRef>
              <c:f>Sheet1!$D$2:$D$11</c:f>
              <c:numCache>
                <c:formatCode>0.00</c:formatCode>
                <c:ptCount val="10"/>
                <c:pt idx="0">
                  <c:v>2.0202008210271236</c:v>
                </c:pt>
                <c:pt idx="1">
                  <c:v>2.0024193453674233</c:v>
                </c:pt>
                <c:pt idx="2">
                  <c:v>2.00065426795488</c:v>
                </c:pt>
                <c:pt idx="3">
                  <c:v>2.0006174273365378</c:v>
                </c:pt>
                <c:pt idx="4">
                  <c:v>2.0021073126533286</c:v>
                </c:pt>
                <c:pt idx="5">
                  <c:v>2.0051819726873781</c:v>
                </c:pt>
                <c:pt idx="6">
                  <c:v>2.0095451498048709</c:v>
                </c:pt>
                <c:pt idx="7">
                  <c:v>2.0151243447350806</c:v>
                </c:pt>
                <c:pt idx="8">
                  <c:v>2.0220826025015937</c:v>
                </c:pt>
                <c:pt idx="9">
                  <c:v>2.0302876146960824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B2-4EAF-8032-7BC7F4CF3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127232"/>
        <c:axId val="1379135392"/>
      </c:barChart>
      <c:lineChart>
        <c:grouping val="standard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Target 2025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1.1016575948140711E-3"/>
                  <c:y val="-3.11526742803262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B2-4EAF-8032-7BC7F4CF3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numCache>
            </c:numRef>
          </c:cat>
          <c:val>
            <c:numRef>
              <c:f>Sheet1!$E$2:$E$11</c:f>
              <c:numCache>
                <c:formatCode>0.00</c:formatCode>
                <c:ptCount val="10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B2-4EAF-8032-7BC7F4CF32B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Target 2030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3.1979953848050954E-2"/>
                  <c:y val="-4.9025775263346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B2-4EAF-8032-7BC7F4CF32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</c:numCache>
            </c:numRef>
          </c:cat>
          <c:val>
            <c:numRef>
              <c:f>Sheet1!$F$2:$F$11</c:f>
              <c:numCache>
                <c:formatCode>0.00</c:formatCode>
                <c:ptCount val="10"/>
                <c:pt idx="0">
                  <c:v>2.78</c:v>
                </c:pt>
                <c:pt idx="1">
                  <c:v>2.78</c:v>
                </c:pt>
                <c:pt idx="2">
                  <c:v>2.78</c:v>
                </c:pt>
                <c:pt idx="3">
                  <c:v>2.78</c:v>
                </c:pt>
                <c:pt idx="4">
                  <c:v>2.78</c:v>
                </c:pt>
                <c:pt idx="5">
                  <c:v>2.78</c:v>
                </c:pt>
                <c:pt idx="6">
                  <c:v>2.78</c:v>
                </c:pt>
                <c:pt idx="7">
                  <c:v>2.78</c:v>
                </c:pt>
                <c:pt idx="8">
                  <c:v>2.78</c:v>
                </c:pt>
                <c:pt idx="9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B2-4EAF-8032-7BC7F4CF3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136832"/>
        <c:axId val="1379120032"/>
      </c:lineChart>
      <c:catAx>
        <c:axId val="13791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135392"/>
        <c:crosses val="autoZero"/>
        <c:auto val="1"/>
        <c:lblAlgn val="ctr"/>
        <c:lblOffset val="100"/>
        <c:noMultiLvlLbl val="0"/>
      </c:catAx>
      <c:valAx>
        <c:axId val="13791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 100,000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127232"/>
        <c:crosses val="autoZero"/>
        <c:crossBetween val="between"/>
      </c:valAx>
      <c:valAx>
        <c:axId val="1379120032"/>
        <c:scaling>
          <c:orientation val="minMax"/>
          <c:max val="3"/>
          <c:min val="0"/>
        </c:scaling>
        <c:delete val="1"/>
        <c:axPos val="r"/>
        <c:numFmt formatCode="0.00" sourceLinked="1"/>
        <c:majorTickMark val="out"/>
        <c:minorTickMark val="none"/>
        <c:tickLblPos val="nextTo"/>
        <c:crossAx val="1379136832"/>
        <c:crosses val="max"/>
        <c:crossBetween val="between"/>
      </c:valAx>
      <c:catAx>
        <c:axId val="1379136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9120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371474</xdr:colOff>
      <xdr:row>0</xdr:row>
      <xdr:rowOff>180974</xdr:rowOff>
    </xdr:from>
    <xdr:to>
      <xdr:col>16</xdr:col>
      <xdr:colOff>76199</xdr:colOff>
      <xdr:row>19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53C3C3-454E-C572-6DE4-4682027B2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C82-D192-4E1E-BEC1-3933005E7A1D}">
  <dimension ref="A1:F11"/>
  <sheetViews>
    <sheetView tabSelected="1" workbookViewId="0">
      <selection activeCell="C15" sqref="C15"/>
    </sheetView>
  </sheetViews>
  <sheetFormatPr defaultRowHeight="14.5" x14ac:dyDescent="0.35"/>
  <cols>
    <col min="2" max="6" width="11.54296875" bestFit="1" customWidth="1"/>
  </cols>
  <sheetData>
    <row r="1" spans="1:6" x14ac:dyDescent="0.35">
      <c r="B1" t="s">
        <v>7</v>
      </c>
      <c r="C1" t="s">
        <v>6</v>
      </c>
      <c r="D1" t="s">
        <v>8</v>
      </c>
      <c r="E1" t="s">
        <v>4</v>
      </c>
      <c r="F1" t="s">
        <v>5</v>
      </c>
    </row>
    <row r="2" spans="1:6" x14ac:dyDescent="0.35">
      <c r="A2">
        <v>2024</v>
      </c>
      <c r="B2" s="1">
        <v>1.9166007789231685</v>
      </c>
      <c r="C2" s="1">
        <v>1.9670376415264101</v>
      </c>
      <c r="D2" s="1">
        <v>2.0202008210271236</v>
      </c>
      <c r="E2" s="1">
        <v>2.5</v>
      </c>
      <c r="F2" s="1">
        <v>2.78</v>
      </c>
    </row>
    <row r="3" spans="1:6" x14ac:dyDescent="0.35">
      <c r="A3">
        <v>2025</v>
      </c>
      <c r="B3" s="1">
        <v>2.0024193453674233</v>
      </c>
      <c r="C3" s="1">
        <v>2.0024193453674233</v>
      </c>
      <c r="D3" s="1">
        <v>2.0024193453674233</v>
      </c>
      <c r="E3" s="1">
        <v>2.5</v>
      </c>
      <c r="F3" s="1">
        <v>2.78</v>
      </c>
    </row>
    <row r="4" spans="1:6" x14ac:dyDescent="0.35">
      <c r="A4">
        <v>2026</v>
      </c>
      <c r="B4" s="1">
        <v>2.0995616459811988</v>
      </c>
      <c r="C4" s="1">
        <v>2.0501079569680396</v>
      </c>
      <c r="D4" s="1">
        <v>2.00065426795488</v>
      </c>
      <c r="E4" s="1">
        <v>2.5</v>
      </c>
      <c r="F4" s="1">
        <v>2.78</v>
      </c>
    </row>
    <row r="5" spans="1:6" x14ac:dyDescent="0.35">
      <c r="A5">
        <v>2027</v>
      </c>
      <c r="B5" s="1">
        <v>2.1947558511964642</v>
      </c>
      <c r="C5" s="1">
        <v>2.0964649530098622</v>
      </c>
      <c r="D5" s="1">
        <v>2.0006174273365378</v>
      </c>
      <c r="E5" s="1">
        <v>2.5</v>
      </c>
      <c r="F5" s="1">
        <v>2.78</v>
      </c>
    </row>
    <row r="6" spans="1:6" x14ac:dyDescent="0.35">
      <c r="A6">
        <v>2028</v>
      </c>
      <c r="B6" s="1">
        <v>2.2880636603510744</v>
      </c>
      <c r="C6" s="1">
        <v>2.1415398097602849</v>
      </c>
      <c r="D6" s="1">
        <v>2.0021073126533286</v>
      </c>
      <c r="E6" s="1">
        <v>2.5</v>
      </c>
      <c r="F6" s="1">
        <v>2.78</v>
      </c>
    </row>
    <row r="7" spans="1:6" x14ac:dyDescent="0.35">
      <c r="A7">
        <v>2029</v>
      </c>
      <c r="B7" s="1">
        <v>2.3798230442668729</v>
      </c>
      <c r="C7" s="1">
        <v>2.1856379325058053</v>
      </c>
      <c r="D7" s="1">
        <v>2.0051819726873781</v>
      </c>
      <c r="E7" s="1">
        <v>2.5</v>
      </c>
      <c r="F7" s="1">
        <v>2.78</v>
      </c>
    </row>
    <row r="8" spans="1:6" x14ac:dyDescent="0.35">
      <c r="A8">
        <v>2030</v>
      </c>
      <c r="B8" s="1">
        <v>2.4699481863870187</v>
      </c>
      <c r="C8" s="1">
        <v>2.228665801738233</v>
      </c>
      <c r="D8" s="1">
        <v>2.0095451498048709</v>
      </c>
      <c r="E8" s="1">
        <v>2.5</v>
      </c>
      <c r="F8" s="1">
        <v>2.78</v>
      </c>
    </row>
    <row r="9" spans="1:6" x14ac:dyDescent="0.35">
      <c r="A9">
        <v>2031</v>
      </c>
      <c r="B9" s="1">
        <v>2.5585873238715955</v>
      </c>
      <c r="C9" s="1">
        <v>2.2707490480398893</v>
      </c>
      <c r="D9" s="1">
        <v>2.0151243447350806</v>
      </c>
      <c r="E9" s="1">
        <v>2.5</v>
      </c>
      <c r="F9" s="1">
        <v>2.78</v>
      </c>
    </row>
    <row r="10" spans="1:6" x14ac:dyDescent="0.35">
      <c r="A10">
        <v>2032</v>
      </c>
      <c r="B10" s="1">
        <v>2.646183990459499</v>
      </c>
      <c r="C10" s="1">
        <v>2.3122673894604104</v>
      </c>
      <c r="D10" s="1">
        <v>2.0220826025015937</v>
      </c>
      <c r="E10" s="1">
        <v>2.5</v>
      </c>
      <c r="F10" s="1">
        <v>2.78</v>
      </c>
    </row>
    <row r="11" spans="1:6" x14ac:dyDescent="0.35">
      <c r="A11">
        <v>2033</v>
      </c>
      <c r="B11" s="1">
        <v>2.7328053894307724</v>
      </c>
      <c r="C11" s="1">
        <v>2.3532579260938662</v>
      </c>
      <c r="D11" s="1">
        <v>2.0302876146960824</v>
      </c>
      <c r="E11" s="1">
        <v>2.5</v>
      </c>
      <c r="F11" s="1">
        <v>2.78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3C95-5EF1-4B0F-9625-228BABA76138}">
  <dimension ref="A1:G40"/>
  <sheetViews>
    <sheetView topLeftCell="A20" workbookViewId="0">
      <selection activeCell="E30" sqref="E30:E39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10</v>
      </c>
    </row>
    <row r="2" spans="1:7" x14ac:dyDescent="0.35">
      <c r="A2">
        <v>2024</v>
      </c>
      <c r="B2">
        <v>33401.800000000003</v>
      </c>
      <c r="C2">
        <f>(C3-D3)/0.975</f>
        <v>640.17915897435898</v>
      </c>
      <c r="D2">
        <v>56.741079999999997</v>
      </c>
      <c r="E2">
        <f>C2/B2*100</f>
        <v>1.9166007789231685</v>
      </c>
    </row>
    <row r="3" spans="1:7" x14ac:dyDescent="0.35">
      <c r="A3">
        <v>2025</v>
      </c>
      <c r="B3">
        <v>34058.800000000003</v>
      </c>
      <c r="C3">
        <v>682</v>
      </c>
      <c r="D3">
        <v>57.825319999999998</v>
      </c>
      <c r="E3">
        <f t="shared" ref="E3:E11" si="0">C3/B3*100</f>
        <v>2.0024193453674233</v>
      </c>
    </row>
    <row r="4" spans="1:7" x14ac:dyDescent="0.35">
      <c r="A4">
        <v>2026</v>
      </c>
      <c r="B4">
        <v>34476.699999999997</v>
      </c>
      <c r="C4">
        <f>(C3*0.975)+D4</f>
        <v>723.85956999999996</v>
      </c>
      <c r="D4">
        <v>58.909570000000002</v>
      </c>
      <c r="E4">
        <f t="shared" si="0"/>
        <v>2.0995616459811988</v>
      </c>
    </row>
    <row r="5" spans="1:7" x14ac:dyDescent="0.35">
      <c r="A5">
        <v>2027</v>
      </c>
      <c r="B5">
        <v>34890.300000000003</v>
      </c>
      <c r="C5">
        <f t="shared" ref="C5:C11" si="1">(C4*0.975)+D5</f>
        <v>765.75690075</v>
      </c>
      <c r="D5">
        <v>59.993819999999999</v>
      </c>
      <c r="E5">
        <f t="shared" si="0"/>
        <v>2.1947558511964642</v>
      </c>
    </row>
    <row r="6" spans="1:7" x14ac:dyDescent="0.35">
      <c r="A6">
        <v>2028</v>
      </c>
      <c r="B6">
        <v>35300.199999999997</v>
      </c>
      <c r="C6">
        <f t="shared" si="1"/>
        <v>807.69104823124997</v>
      </c>
      <c r="D6">
        <v>61.078069999999997</v>
      </c>
      <c r="E6">
        <f t="shared" si="0"/>
        <v>2.2880636603510744</v>
      </c>
    </row>
    <row r="7" spans="1:7" x14ac:dyDescent="0.35">
      <c r="A7">
        <v>2029</v>
      </c>
      <c r="B7">
        <v>35702.699999999997</v>
      </c>
      <c r="C7">
        <f t="shared" si="1"/>
        <v>849.66108202546877</v>
      </c>
      <c r="D7">
        <v>62.162309999999998</v>
      </c>
      <c r="E7">
        <f t="shared" si="0"/>
        <v>2.3798230442668729</v>
      </c>
    </row>
    <row r="8" spans="1:7" x14ac:dyDescent="0.35">
      <c r="A8">
        <v>2030</v>
      </c>
      <c r="B8">
        <v>36100.6</v>
      </c>
      <c r="C8">
        <f t="shared" si="1"/>
        <v>891.66611497483211</v>
      </c>
      <c r="D8">
        <v>63.246560000000002</v>
      </c>
      <c r="E8">
        <f t="shared" si="0"/>
        <v>2.4699481863870187</v>
      </c>
    </row>
    <row r="9" spans="1:7" x14ac:dyDescent="0.35">
      <c r="A9">
        <v>2031</v>
      </c>
      <c r="B9">
        <v>36493</v>
      </c>
      <c r="C9">
        <f t="shared" si="1"/>
        <v>933.70527210046134</v>
      </c>
      <c r="D9">
        <v>64.33081</v>
      </c>
      <c r="E9">
        <f t="shared" si="0"/>
        <v>2.5585873238715955</v>
      </c>
    </row>
    <row r="10" spans="1:7" x14ac:dyDescent="0.35">
      <c r="A10">
        <v>2032</v>
      </c>
      <c r="B10">
        <v>36874.9</v>
      </c>
      <c r="C10">
        <f t="shared" si="1"/>
        <v>975.77770029794988</v>
      </c>
      <c r="D10">
        <v>65.415059999999997</v>
      </c>
      <c r="E10">
        <f t="shared" si="0"/>
        <v>2.646183990459499</v>
      </c>
    </row>
    <row r="11" spans="1:7" x14ac:dyDescent="0.35">
      <c r="A11">
        <v>2033</v>
      </c>
      <c r="B11">
        <v>37246.800000000003</v>
      </c>
      <c r="C11">
        <f t="shared" si="1"/>
        <v>1017.8825577905011</v>
      </c>
      <c r="D11">
        <v>66.499300000000005</v>
      </c>
      <c r="E11">
        <f t="shared" si="0"/>
        <v>2.7328053894307724</v>
      </c>
      <c r="F11">
        <f>2.78*B11/100</f>
        <v>1035.4610400000001</v>
      </c>
      <c r="G11">
        <f>F11-C11</f>
        <v>17.578482209499043</v>
      </c>
    </row>
    <row r="12" spans="1:7" x14ac:dyDescent="0.35">
      <c r="C12" t="s">
        <v>7</v>
      </c>
    </row>
    <row r="15" spans="1:7" x14ac:dyDescent="0.35">
      <c r="B15" t="s">
        <v>0</v>
      </c>
      <c r="C15" t="s">
        <v>1</v>
      </c>
      <c r="D15" t="s">
        <v>2</v>
      </c>
      <c r="E15" t="s">
        <v>3</v>
      </c>
      <c r="F15" t="s">
        <v>9</v>
      </c>
      <c r="G15" t="s">
        <v>10</v>
      </c>
    </row>
    <row r="16" spans="1:7" x14ac:dyDescent="0.35">
      <c r="A16">
        <v>2024</v>
      </c>
      <c r="B16">
        <v>33401.800000000003</v>
      </c>
      <c r="C16">
        <f>(C17-D17)/0.95</f>
        <v>657.02597894736846</v>
      </c>
      <c r="D16">
        <v>56.741079999999997</v>
      </c>
      <c r="E16">
        <f>C16/B16*100</f>
        <v>1.9670376415264101</v>
      </c>
    </row>
    <row r="17" spans="1:7" x14ac:dyDescent="0.35">
      <c r="A17">
        <v>2025</v>
      </c>
      <c r="B17">
        <v>34058.800000000003</v>
      </c>
      <c r="C17">
        <v>682</v>
      </c>
      <c r="D17">
        <v>57.825319999999998</v>
      </c>
      <c r="E17">
        <f t="shared" ref="E17:E25" si="2">C17/B17*100</f>
        <v>2.0024193453674233</v>
      </c>
    </row>
    <row r="18" spans="1:7" x14ac:dyDescent="0.35">
      <c r="A18">
        <v>2026</v>
      </c>
      <c r="B18">
        <v>34476.699999999997</v>
      </c>
      <c r="C18">
        <f>(C17*0.95)+D18</f>
        <v>706.80957000000001</v>
      </c>
      <c r="D18">
        <v>58.909570000000002</v>
      </c>
      <c r="E18">
        <f t="shared" si="2"/>
        <v>2.0501079569680396</v>
      </c>
    </row>
    <row r="19" spans="1:7" x14ac:dyDescent="0.35">
      <c r="A19">
        <v>2027</v>
      </c>
      <c r="B19">
        <v>34890.300000000003</v>
      </c>
      <c r="C19">
        <f t="shared" ref="C19:C25" si="3">(C18*0.95)+D19</f>
        <v>731.46291150000002</v>
      </c>
      <c r="D19">
        <v>59.993819999999999</v>
      </c>
      <c r="E19">
        <f t="shared" si="2"/>
        <v>2.0964649530098622</v>
      </c>
    </row>
    <row r="20" spans="1:7" x14ac:dyDescent="0.35">
      <c r="A20">
        <v>2028</v>
      </c>
      <c r="B20">
        <v>35300.199999999997</v>
      </c>
      <c r="C20">
        <f t="shared" si="3"/>
        <v>755.96783592500003</v>
      </c>
      <c r="D20">
        <v>61.078069999999997</v>
      </c>
      <c r="E20">
        <f t="shared" si="2"/>
        <v>2.1415398097602849</v>
      </c>
    </row>
    <row r="21" spans="1:7" x14ac:dyDescent="0.35">
      <c r="A21">
        <v>2029</v>
      </c>
      <c r="B21">
        <v>35702.699999999997</v>
      </c>
      <c r="C21">
        <f t="shared" si="3"/>
        <v>780.33175412875005</v>
      </c>
      <c r="D21">
        <v>62.162309999999998</v>
      </c>
      <c r="E21">
        <f t="shared" si="2"/>
        <v>2.1856379325058053</v>
      </c>
    </row>
    <row r="22" spans="1:7" x14ac:dyDescent="0.35">
      <c r="A22">
        <v>2030</v>
      </c>
      <c r="B22">
        <v>36100.6</v>
      </c>
      <c r="C22">
        <f t="shared" si="3"/>
        <v>804.56172642231252</v>
      </c>
      <c r="D22">
        <v>63.246560000000002</v>
      </c>
      <c r="E22">
        <f t="shared" si="2"/>
        <v>2.228665801738233</v>
      </c>
    </row>
    <row r="23" spans="1:7" x14ac:dyDescent="0.35">
      <c r="A23">
        <v>2031</v>
      </c>
      <c r="B23">
        <v>36493</v>
      </c>
      <c r="C23">
        <f t="shared" si="3"/>
        <v>828.66445010119685</v>
      </c>
      <c r="D23">
        <v>64.33081</v>
      </c>
      <c r="E23">
        <f t="shared" si="2"/>
        <v>2.2707490480398893</v>
      </c>
    </row>
    <row r="24" spans="1:7" x14ac:dyDescent="0.35">
      <c r="A24">
        <v>2032</v>
      </c>
      <c r="B24">
        <v>36874.9</v>
      </c>
      <c r="C24">
        <f t="shared" si="3"/>
        <v>852.64628759613697</v>
      </c>
      <c r="D24">
        <v>65.415059999999997</v>
      </c>
      <c r="E24">
        <f t="shared" si="2"/>
        <v>2.3122673894604104</v>
      </c>
    </row>
    <row r="25" spans="1:7" x14ac:dyDescent="0.35">
      <c r="A25">
        <v>2033</v>
      </c>
      <c r="B25">
        <v>37246.800000000003</v>
      </c>
      <c r="C25">
        <f t="shared" si="3"/>
        <v>876.51327321633016</v>
      </c>
      <c r="D25">
        <v>66.499300000000005</v>
      </c>
      <c r="E25">
        <f t="shared" si="2"/>
        <v>2.3532579260938662</v>
      </c>
      <c r="F25">
        <f>2.78*B25/100</f>
        <v>1035.4610400000001</v>
      </c>
      <c r="G25">
        <f>F25-C25</f>
        <v>158.94776678366998</v>
      </c>
    </row>
    <row r="26" spans="1:7" x14ac:dyDescent="0.35">
      <c r="C26" t="s">
        <v>6</v>
      </c>
    </row>
    <row r="29" spans="1:7" x14ac:dyDescent="0.35">
      <c r="B29" t="s">
        <v>0</v>
      </c>
      <c r="C29" t="s">
        <v>1</v>
      </c>
      <c r="D29" t="s">
        <v>2</v>
      </c>
      <c r="E29" t="s">
        <v>3</v>
      </c>
      <c r="F29" t="s">
        <v>9</v>
      </c>
      <c r="G29" t="s">
        <v>10</v>
      </c>
    </row>
    <row r="30" spans="1:7" x14ac:dyDescent="0.35">
      <c r="A30">
        <v>2024</v>
      </c>
      <c r="B30">
        <v>33401.800000000003</v>
      </c>
      <c r="C30">
        <f>(C31-D31)/0.925</f>
        <v>674.78343783783782</v>
      </c>
      <c r="D30">
        <v>56.741079999999997</v>
      </c>
      <c r="E30">
        <f>C30/B30*100</f>
        <v>2.0202008210271236</v>
      </c>
    </row>
    <row r="31" spans="1:7" x14ac:dyDescent="0.35">
      <c r="A31">
        <v>2025</v>
      </c>
      <c r="B31">
        <v>34058.800000000003</v>
      </c>
      <c r="C31">
        <v>682</v>
      </c>
      <c r="D31">
        <v>57.825319999999998</v>
      </c>
      <c r="E31">
        <f t="shared" ref="E31:E39" si="4">C31/B31*100</f>
        <v>2.0024193453674233</v>
      </c>
    </row>
    <row r="32" spans="1:7" x14ac:dyDescent="0.35">
      <c r="A32">
        <v>2026</v>
      </c>
      <c r="B32">
        <v>34476.699999999997</v>
      </c>
      <c r="C32">
        <f>(C31*0.925)+D32</f>
        <v>689.75957000000005</v>
      </c>
      <c r="D32">
        <v>58.909570000000002</v>
      </c>
      <c r="E32">
        <f t="shared" si="4"/>
        <v>2.00065426795488</v>
      </c>
    </row>
    <row r="33" spans="1:7" x14ac:dyDescent="0.35">
      <c r="A33">
        <v>2027</v>
      </c>
      <c r="B33">
        <v>34890.300000000003</v>
      </c>
      <c r="C33">
        <f t="shared" ref="C33:C39" si="5">(C32*0.925)+D33</f>
        <v>698.02142225000011</v>
      </c>
      <c r="D33">
        <v>59.993819999999999</v>
      </c>
      <c r="E33">
        <f t="shared" si="4"/>
        <v>2.0006174273365378</v>
      </c>
    </row>
    <row r="34" spans="1:7" x14ac:dyDescent="0.35">
      <c r="A34">
        <v>2028</v>
      </c>
      <c r="B34">
        <v>35300.199999999997</v>
      </c>
      <c r="C34">
        <f t="shared" si="5"/>
        <v>706.74788558125022</v>
      </c>
      <c r="D34">
        <v>61.078069999999997</v>
      </c>
      <c r="E34">
        <f t="shared" si="4"/>
        <v>2.0021073126533286</v>
      </c>
    </row>
    <row r="35" spans="1:7" x14ac:dyDescent="0.35">
      <c r="A35">
        <v>2029</v>
      </c>
      <c r="B35">
        <v>35702.699999999997</v>
      </c>
      <c r="C35">
        <f t="shared" si="5"/>
        <v>715.90410416265649</v>
      </c>
      <c r="D35">
        <v>62.162309999999998</v>
      </c>
      <c r="E35">
        <f t="shared" si="4"/>
        <v>2.0051819726873781</v>
      </c>
    </row>
    <row r="36" spans="1:7" x14ac:dyDescent="0.35">
      <c r="A36">
        <v>2030</v>
      </c>
      <c r="B36">
        <v>36100.6</v>
      </c>
      <c r="C36">
        <f t="shared" si="5"/>
        <v>725.45785635045729</v>
      </c>
      <c r="D36">
        <v>63.246560000000002</v>
      </c>
      <c r="E36">
        <f t="shared" si="4"/>
        <v>2.0095451498048709</v>
      </c>
    </row>
    <row r="37" spans="1:7" x14ac:dyDescent="0.35">
      <c r="A37">
        <v>2031</v>
      </c>
      <c r="B37">
        <v>36493</v>
      </c>
      <c r="C37">
        <f t="shared" si="5"/>
        <v>735.37932712417307</v>
      </c>
      <c r="D37">
        <v>64.33081</v>
      </c>
      <c r="E37">
        <f t="shared" si="4"/>
        <v>2.0151243447350806</v>
      </c>
    </row>
    <row r="38" spans="1:7" x14ac:dyDescent="0.35">
      <c r="A38">
        <v>2032</v>
      </c>
      <c r="B38">
        <v>36874.9</v>
      </c>
      <c r="C38">
        <f t="shared" si="5"/>
        <v>745.64093758986019</v>
      </c>
      <c r="D38">
        <v>65.415059999999997</v>
      </c>
      <c r="E38">
        <f t="shared" si="4"/>
        <v>2.0220826025015937</v>
      </c>
    </row>
    <row r="39" spans="1:7" x14ac:dyDescent="0.35">
      <c r="A39">
        <v>2033</v>
      </c>
      <c r="B39">
        <v>37246.800000000003</v>
      </c>
      <c r="C39">
        <f t="shared" si="5"/>
        <v>756.21716727062062</v>
      </c>
      <c r="D39">
        <v>66.499300000000005</v>
      </c>
      <c r="E39">
        <f t="shared" si="4"/>
        <v>2.0302876146960824</v>
      </c>
      <c r="F39">
        <f>2.78*B39/100</f>
        <v>1035.4610400000001</v>
      </c>
      <c r="G39">
        <f>F39-C39</f>
        <v>279.24387272937952</v>
      </c>
    </row>
    <row r="40" spans="1:7" x14ac:dyDescent="0.35">
      <c r="C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Woon</cp:lastModifiedBy>
  <dcterms:created xsi:type="dcterms:W3CDTF">2026-02-01T13:52:03Z</dcterms:created>
  <dcterms:modified xsi:type="dcterms:W3CDTF">2026-09-25T07:15:00Z</dcterms:modified>
</cp:coreProperties>
</file>